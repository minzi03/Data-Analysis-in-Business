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iynzi\Desktop\HK2\phân tích dữ liệu kinh doanh\lớp chính thức\Guidance for Practice Lab 01 (Descriptive statistic)-20240307\"/>
    </mc:Choice>
  </mc:AlternateContent>
  <xr:revisionPtr revIDLastSave="0" documentId="13_ncr:1_{518BD257-FE27-435F-AD40-A9FAB287879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2" sheetId="2" r:id="rId1"/>
    <sheet name="Sheet1" sheetId="1" r:id="rId2"/>
  </sheets>
  <definedNames>
    <definedName name="_xlchart.v1.0" hidden="1">Sheet1!$B$2:$B$22</definedName>
    <definedName name="_xlchart.v1.1" hidden="1">Sheet1!$B$2:$B$22</definedName>
    <definedName name="_xlchart.v1.2" hidden="1">Sheet1!$B$2:$B$22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<sst xmlns="http://schemas.openxmlformats.org/spreadsheetml/2006/main" count="30" uniqueCount="25">
  <si>
    <t>Year</t>
  </si>
  <si>
    <t>GDP</t>
  </si>
  <si>
    <t>Mean</t>
  </si>
  <si>
    <t>Median</t>
  </si>
  <si>
    <t>Mode</t>
  </si>
  <si>
    <t>Variance</t>
  </si>
  <si>
    <t>Standard Deviation</t>
  </si>
  <si>
    <t xml:space="preserve">Kurtosis </t>
  </si>
  <si>
    <t>Q2</t>
  </si>
  <si>
    <t>Q1</t>
  </si>
  <si>
    <t>Q0</t>
  </si>
  <si>
    <t>Q3</t>
  </si>
  <si>
    <t>Q4</t>
  </si>
  <si>
    <t>Skewness</t>
  </si>
  <si>
    <t>Column1</t>
  </si>
  <si>
    <t>Standard Error</t>
  </si>
  <si>
    <t>Sample Variance</t>
  </si>
  <si>
    <t>Kurtosis</t>
  </si>
  <si>
    <t>Range</t>
  </si>
  <si>
    <t>Minimum</t>
  </si>
  <si>
    <t>Maximum</t>
  </si>
  <si>
    <t>Sum</t>
  </si>
  <si>
    <t>Count</t>
  </si>
  <si>
    <t>Calculate</t>
  </si>
  <si>
    <t>Analyze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</si>
</sst>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Continuous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GDP</a:t>
          </a:r>
        </a:p>
      </cx:txPr>
    </cx:title>
    <cx:plotArea>
      <cx:plotAreaRegion>
        <cx:series layoutId="clusteredColumn" uniqueId="{E3E0622E-DE03-422D-B211-D20916693FF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GDP</a:t>
          </a:r>
        </a:p>
      </cx:txPr>
    </cx:title>
    <cx:plotArea>
      <cx:plotAreaRegion>
        <cx:series layoutId="boxWhisker" uniqueId="{DCE61C1D-3F8A-4907-903A-7D422B0798E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1</xdr:row>
      <xdr:rowOff>7620</xdr:rowOff>
    </xdr:from>
    <xdr:to>
      <xdr:col>14</xdr:col>
      <xdr:colOff>76200</xdr:colOff>
      <xdr:row>14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65546F-CF8A-4AEB-71EA-2233B12686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6340" y="190500"/>
              <a:ext cx="4130040" cy="2453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556260</xdr:colOff>
      <xdr:row>0</xdr:row>
      <xdr:rowOff>137160</xdr:rowOff>
    </xdr:from>
    <xdr:to>
      <xdr:col>21</xdr:col>
      <xdr:colOff>579120</xdr:colOff>
      <xdr:row>14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DB54FF6-613B-5B0F-C7CA-C1A02D3C85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16440" y="137160"/>
              <a:ext cx="4290060" cy="2484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F026-C688-4340-A918-35357552D563}">
  <dimension ref="A1:B2"/>
  <sheetViews>
    <sheetView workbookViewId="0">
      <selection activeCell="A6" sqref="A3:B15"/>
    </sheetView>
  </sheetViews>
  <sheetFormatPr defaultRowHeight="14.4" x14ac:dyDescent="0.3"/>
  <sheetData>
    <row r="1" spans="1:2" x14ac:dyDescent="0.3">
      <c r="A1" s="2" t="s">
        <v>14</v>
      </c>
      <c r="B1" s="2"/>
    </row>
    <row r="2" spans="1:2" x14ac:dyDescent="0.3">
      <c r="A2" s="1"/>
      <c r="B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K21" sqref="K21"/>
    </sheetView>
  </sheetViews>
  <sheetFormatPr defaultRowHeight="14.4" x14ac:dyDescent="0.3"/>
  <cols>
    <col min="4" max="4" width="16.5546875" bestFit="1" customWidth="1"/>
    <col min="5" max="5" width="12.6640625" bestFit="1" customWidth="1"/>
  </cols>
  <sheetData>
    <row r="1" spans="1:5" x14ac:dyDescent="0.3">
      <c r="A1" t="s">
        <v>0</v>
      </c>
      <c r="B1" t="s">
        <v>1</v>
      </c>
      <c r="D1" s="5" t="s">
        <v>23</v>
      </c>
      <c r="E1" s="6"/>
    </row>
    <row r="2" spans="1:5" x14ac:dyDescent="0.3">
      <c r="A2">
        <v>2000</v>
      </c>
      <c r="B2">
        <v>302</v>
      </c>
      <c r="D2" s="3" t="s">
        <v>2</v>
      </c>
      <c r="E2" s="3">
        <f>AVERAGE(B2:B22)</f>
        <v>1341.8571428571429</v>
      </c>
    </row>
    <row r="3" spans="1:5" x14ac:dyDescent="0.3">
      <c r="A3">
        <v>2001</v>
      </c>
      <c r="B3">
        <v>315</v>
      </c>
      <c r="D3" s="3" t="s">
        <v>3</v>
      </c>
      <c r="E3" s="3">
        <f>MEDIAN(B2:B22)</f>
        <v>1234</v>
      </c>
    </row>
    <row r="4" spans="1:5" x14ac:dyDescent="0.3">
      <c r="A4">
        <v>2002</v>
      </c>
      <c r="B4">
        <v>340</v>
      </c>
      <c r="D4" s="3" t="s">
        <v>4</v>
      </c>
      <c r="E4" s="3" t="e">
        <f>MODE(B2:B22)</f>
        <v>#N/A</v>
      </c>
    </row>
    <row r="5" spans="1:5" x14ac:dyDescent="0.3">
      <c r="A5">
        <v>2003</v>
      </c>
      <c r="B5">
        <v>389</v>
      </c>
      <c r="D5" s="3" t="s">
        <v>10</v>
      </c>
      <c r="E5" s="3">
        <f>_xlfn.QUARTILE.INC(B2:B22,0)</f>
        <v>302</v>
      </c>
    </row>
    <row r="6" spans="1:5" x14ac:dyDescent="0.3">
      <c r="A6">
        <v>2004</v>
      </c>
      <c r="B6">
        <v>453</v>
      </c>
      <c r="D6" s="3" t="s">
        <v>9</v>
      </c>
      <c r="E6" s="3">
        <f>_xlfn.QUARTILE.INC(B2:B22,1)</f>
        <v>537</v>
      </c>
    </row>
    <row r="7" spans="1:5" x14ac:dyDescent="0.3">
      <c r="A7">
        <v>2005</v>
      </c>
      <c r="B7">
        <v>537</v>
      </c>
      <c r="D7" s="3" t="s">
        <v>8</v>
      </c>
      <c r="E7" s="3">
        <f>_xlfn.QUARTILE.INC(B2:B22,2)</f>
        <v>1234</v>
      </c>
    </row>
    <row r="8" spans="1:5" x14ac:dyDescent="0.3">
      <c r="A8">
        <v>2006</v>
      </c>
      <c r="B8">
        <v>624</v>
      </c>
      <c r="D8" s="3" t="s">
        <v>11</v>
      </c>
      <c r="E8" s="3">
        <f>_xlfn.QUARTILE.INC(B2:B22,3)</f>
        <v>2009</v>
      </c>
    </row>
    <row r="9" spans="1:5" x14ac:dyDescent="0.3">
      <c r="A9">
        <v>2007</v>
      </c>
      <c r="B9">
        <v>730</v>
      </c>
      <c r="D9" s="3" t="s">
        <v>12</v>
      </c>
      <c r="E9" s="3">
        <f>_xlfn.QUARTILE.INC(B2:B22,4)</f>
        <v>2679</v>
      </c>
    </row>
    <row r="10" spans="1:5" x14ac:dyDescent="0.3">
      <c r="A10">
        <v>2008</v>
      </c>
      <c r="B10">
        <v>1065</v>
      </c>
      <c r="D10" s="3" t="s">
        <v>5</v>
      </c>
      <c r="E10" s="3">
        <f>_xlfn.VAR.S(B2:B22)</f>
        <v>693745.42857142875</v>
      </c>
    </row>
    <row r="11" spans="1:5" x14ac:dyDescent="0.3">
      <c r="A11">
        <v>2009</v>
      </c>
      <c r="B11">
        <v>1132</v>
      </c>
      <c r="D11" s="3" t="s">
        <v>6</v>
      </c>
      <c r="E11" s="3">
        <f>_xlfn.STDEV.S(B2:B22)</f>
        <v>832.91381821376262</v>
      </c>
    </row>
    <row r="12" spans="1:5" x14ac:dyDescent="0.3">
      <c r="A12">
        <v>2010</v>
      </c>
      <c r="B12">
        <v>1234</v>
      </c>
      <c r="D12" s="3" t="s">
        <v>13</v>
      </c>
      <c r="E12" s="3">
        <f>SKEW(B2:B22)</f>
        <v>0.19190526429277793</v>
      </c>
    </row>
    <row r="13" spans="1:5" x14ac:dyDescent="0.3">
      <c r="A13">
        <v>2011</v>
      </c>
      <c r="B13">
        <v>1443</v>
      </c>
      <c r="D13" s="3" t="s">
        <v>7</v>
      </c>
      <c r="E13" s="3">
        <f>KURT(B2:B22)</f>
        <v>-1.4472911328899469</v>
      </c>
    </row>
    <row r="14" spans="1:5" x14ac:dyDescent="0.3">
      <c r="A14">
        <v>2012</v>
      </c>
      <c r="B14">
        <v>1655</v>
      </c>
    </row>
    <row r="15" spans="1:5" x14ac:dyDescent="0.3">
      <c r="A15">
        <v>2013</v>
      </c>
      <c r="B15">
        <v>1811</v>
      </c>
    </row>
    <row r="16" spans="1:5" x14ac:dyDescent="0.3">
      <c r="A16">
        <v>2014</v>
      </c>
      <c r="B16">
        <v>1952</v>
      </c>
    </row>
    <row r="17" spans="1:5" x14ac:dyDescent="0.3">
      <c r="A17">
        <v>2015</v>
      </c>
      <c r="B17">
        <v>2009</v>
      </c>
      <c r="D17" s="4" t="s">
        <v>24</v>
      </c>
      <c r="E17" s="4"/>
    </row>
    <row r="18" spans="1:5" x14ac:dyDescent="0.3">
      <c r="A18">
        <v>2016</v>
      </c>
      <c r="B18">
        <v>2115</v>
      </c>
      <c r="D18" s="7" t="s">
        <v>2</v>
      </c>
      <c r="E18" s="7">
        <v>1341.8571428571429</v>
      </c>
    </row>
    <row r="19" spans="1:5" x14ac:dyDescent="0.3">
      <c r="A19">
        <v>2017</v>
      </c>
      <c r="B19">
        <v>2289</v>
      </c>
      <c r="D19" s="7" t="s">
        <v>15</v>
      </c>
      <c r="E19" s="7">
        <v>181.75669615901217</v>
      </c>
    </row>
    <row r="20" spans="1:5" x14ac:dyDescent="0.3">
      <c r="A20">
        <v>2018</v>
      </c>
      <c r="B20">
        <v>2490</v>
      </c>
      <c r="D20" s="7" t="s">
        <v>3</v>
      </c>
      <c r="E20" s="7">
        <v>1234</v>
      </c>
    </row>
    <row r="21" spans="1:5" x14ac:dyDescent="0.3">
      <c r="A21">
        <v>2019</v>
      </c>
      <c r="B21">
        <v>2615</v>
      </c>
      <c r="D21" s="7" t="s">
        <v>4</v>
      </c>
      <c r="E21" s="7" t="e">
        <v>#N/A</v>
      </c>
    </row>
    <row r="22" spans="1:5" x14ac:dyDescent="0.3">
      <c r="A22">
        <v>2020</v>
      </c>
      <c r="B22">
        <v>2679</v>
      </c>
      <c r="D22" s="7" t="s">
        <v>6</v>
      </c>
      <c r="E22" s="7">
        <v>832.91381821376262</v>
      </c>
    </row>
    <row r="23" spans="1:5" x14ac:dyDescent="0.3">
      <c r="D23" s="7" t="s">
        <v>16</v>
      </c>
      <c r="E23" s="7">
        <v>693745.42857142875</v>
      </c>
    </row>
    <row r="24" spans="1:5" x14ac:dyDescent="0.3">
      <c r="D24" s="7" t="s">
        <v>17</v>
      </c>
      <c r="E24" s="7">
        <v>-1.4472911328899469</v>
      </c>
    </row>
    <row r="25" spans="1:5" x14ac:dyDescent="0.3">
      <c r="D25" s="7" t="s">
        <v>13</v>
      </c>
      <c r="E25" s="7">
        <v>0.19190526429277793</v>
      </c>
    </row>
    <row r="26" spans="1:5" x14ac:dyDescent="0.3">
      <c r="D26" s="7" t="s">
        <v>18</v>
      </c>
      <c r="E26" s="7">
        <v>2377</v>
      </c>
    </row>
    <row r="27" spans="1:5" x14ac:dyDescent="0.3">
      <c r="D27" s="7" t="s">
        <v>19</v>
      </c>
      <c r="E27" s="7">
        <v>302</v>
      </c>
    </row>
    <row r="28" spans="1:5" x14ac:dyDescent="0.3">
      <c r="D28" s="7" t="s">
        <v>20</v>
      </c>
      <c r="E28" s="7">
        <v>2679</v>
      </c>
    </row>
    <row r="29" spans="1:5" x14ac:dyDescent="0.3">
      <c r="D29" s="7" t="s">
        <v>21</v>
      </c>
      <c r="E29" s="7">
        <v>28179</v>
      </c>
    </row>
    <row r="30" spans="1:5" x14ac:dyDescent="0.3">
      <c r="D30" s="7" t="s">
        <v>22</v>
      </c>
      <c r="E30" s="7">
        <v>21</v>
      </c>
    </row>
  </sheetData>
  <mergeCells count="1"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Nhựt</dc:creator>
  <cp:lastModifiedBy>Nguyễn Minh Duy</cp:lastModifiedBy>
  <dcterms:created xsi:type="dcterms:W3CDTF">2015-06-05T18:19:34Z</dcterms:created>
  <dcterms:modified xsi:type="dcterms:W3CDTF">2024-03-14T00:22:15Z</dcterms:modified>
</cp:coreProperties>
</file>